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참여자별 기록"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Pretendard"/>
      <b val="1"/>
      <color rgb="00FFFFFF"/>
    </font>
    <font>
      <name val="Pretendard"/>
    </font>
    <font>
      <name val="Pretendard"/>
      <b val="1"/>
      <sz val="16"/>
    </font>
    <font>
      <name val="Pretendard"/>
      <color rgb="00333333"/>
    </font>
    <font>
      <name val="Pretendard"/>
      <b val="1"/>
    </font>
    <font>
      <name val="Pretendard"/>
      <color rgb="00333333"/>
      <sz val="9"/>
    </font>
  </fonts>
  <fills count="5">
    <fill>
      <patternFill/>
    </fill>
    <fill>
      <patternFill patternType="gray125"/>
    </fill>
    <fill>
      <patternFill patternType="solid">
        <fgColor rgb="002563EB"/>
      </patternFill>
    </fill>
    <fill>
      <patternFill patternType="solid">
        <fgColor rgb="00F3F5F8"/>
      </patternFill>
    </fill>
    <fill>
      <patternFill patternType="solid">
        <fgColor rgb="00EEF3FF"/>
      </patternFill>
    </fill>
  </fills>
  <borders count="1">
    <border>
      <left/>
      <right/>
      <top/>
      <bottom/>
      <diagonal/>
    </border>
  </borders>
  <cellStyleXfs count="1">
    <xf numFmtId="0" fontId="0" fillId="0" borderId="0"/>
  </cellStyleXfs>
  <cellXfs count="16">
    <xf numFmtId="0" fontId="0"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2" fillId="4" borderId="0" pivotButton="0" quotePrefix="0" xfId="0"/>
    <xf numFmtId="9" fontId="2" fillId="4" borderId="0" pivotButton="0" quotePrefix="0" xfId="0"/>
    <xf numFmtId="1" fontId="2" fillId="4" borderId="0" pivotButton="0" quotePrefix="0" xfId="0"/>
    <xf numFmtId="0" fontId="2" fillId="3" borderId="0" pivotButton="0" quotePrefix="0" xfId="0"/>
    <xf numFmtId="9" fontId="2" fillId="3" borderId="0" pivotButton="0" quotePrefix="0" xfId="0"/>
    <xf numFmtId="1" fontId="2" fillId="3" borderId="0" pivotButton="0" quotePrefix="0" xfId="0"/>
    <xf numFmtId="0" fontId="5" fillId="0" borderId="0" pivotButton="0" quotePrefix="0" xfId="0"/>
    <xf numFmtId="1" fontId="2" fillId="0" borderId="0" pivotButton="0" quotePrefix="0" xfId="0"/>
    <xf numFmtId="164" fontId="2" fillId="0" borderId="0" pivotButton="0" quotePrefix="0" xfId="0"/>
    <xf numFmtId="0" fontId="6"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1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미리 사용자 체험 결과 요약</t>
        </is>
      </c>
    </row>
    <row r="2">
      <c r="A2" s="2" t="inlineStr">
        <is>
          <t>참여자별 기록 시트에 입력하면 자동 계산됨. 성공률 분모는 해당 과제 결과를 적은 인원</t>
        </is>
      </c>
    </row>
    <row r="4">
      <c r="A4" s="3" t="inlineStr">
        <is>
          <t>과제</t>
        </is>
      </c>
      <c r="B4" s="3" t="inlineStr">
        <is>
          <t>기록 인원</t>
        </is>
      </c>
      <c r="C4" s="3" t="inlineStr">
        <is>
          <t>성공</t>
        </is>
      </c>
      <c r="D4" s="3" t="inlineStr">
        <is>
          <t>도움 성공</t>
        </is>
      </c>
      <c r="E4" s="3" t="inlineStr">
        <is>
          <t>실패</t>
        </is>
      </c>
      <c r="F4" s="3" t="inlineStr">
        <is>
          <t>성공률(도움 없이)</t>
        </is>
      </c>
      <c r="G4" s="3" t="inlineStr">
        <is>
          <t>성공률(도움 포함)</t>
        </is>
      </c>
      <c r="H4" s="3" t="inlineStr">
        <is>
          <t>평균 시간(초)</t>
        </is>
      </c>
      <c r="I4" s="3" t="inlineStr">
        <is>
          <t>중앙 시간(초)</t>
        </is>
      </c>
    </row>
    <row r="5">
      <c r="A5" s="4" t="inlineStr">
        <is>
          <t>1 배정 받기</t>
        </is>
      </c>
      <c r="B5" s="4">
        <f>COUNTA('참여자별 기록'!E2:E41)</f>
        <v/>
      </c>
      <c r="C5" s="4">
        <f>COUNTIF('참여자별 기록'!E2:E41,"성공")</f>
        <v/>
      </c>
      <c r="D5" s="4">
        <f>COUNTIF('참여자별 기록'!E2:E41,"도움 성공")</f>
        <v/>
      </c>
      <c r="E5" s="4">
        <f>COUNTIF('참여자별 기록'!E2:E41,"실패")</f>
        <v/>
      </c>
      <c r="F5" s="5">
        <f>IF(B5=0,"",C5/B5)</f>
        <v/>
      </c>
      <c r="G5" s="5">
        <f>IF(B5=0,"",(C5+D5)/B5)</f>
        <v/>
      </c>
      <c r="H5" s="6">
        <f>IF(COUNT('참여자별 기록'!F2:F41)=0,"",AVERAGE('참여자별 기록'!F2:F41))</f>
        <v/>
      </c>
      <c r="I5" s="6">
        <f>IF(COUNT('참여자별 기록'!F2:F41)=0,"",MEDIAN('참여자별 기록'!F2:F41))</f>
        <v/>
      </c>
    </row>
    <row r="6">
      <c r="A6" s="7" t="inlineStr">
        <is>
          <t>2 이송 보고</t>
        </is>
      </c>
      <c r="B6" s="7">
        <f>COUNTA('참여자별 기록'!G2:G41)</f>
        <v/>
      </c>
      <c r="C6" s="7">
        <f>COUNTIF('참여자별 기록'!G2:G41,"성공")</f>
        <v/>
      </c>
      <c r="D6" s="7">
        <f>COUNTIF('참여자별 기록'!G2:G41,"도움 성공")</f>
        <v/>
      </c>
      <c r="E6" s="7">
        <f>COUNTIF('참여자별 기록'!G2:G41,"실패")</f>
        <v/>
      </c>
      <c r="F6" s="8">
        <f>IF(B6=0,"",C6/B6)</f>
        <v/>
      </c>
      <c r="G6" s="8">
        <f>IF(B6=0,"",(C6+D6)/B6)</f>
        <v/>
      </c>
      <c r="H6" s="9">
        <f>IF(COUNT('참여자별 기록'!H2:H41)=0,"",AVERAGE('참여자별 기록'!H2:H41))</f>
        <v/>
      </c>
      <c r="I6" s="9">
        <f>IF(COUNT('참여자별 기록'!H2:H41)=0,"",MEDIAN('참여자별 기록'!H2:H41))</f>
        <v/>
      </c>
    </row>
    <row r="7">
      <c r="A7" s="4" t="inlineStr">
        <is>
          <t>3 실패 보고</t>
        </is>
      </c>
      <c r="B7" s="4">
        <f>COUNTA('참여자별 기록'!I2:I41)</f>
        <v/>
      </c>
      <c r="C7" s="4">
        <f>COUNTIF('참여자별 기록'!I2:I41,"성공")</f>
        <v/>
      </c>
      <c r="D7" s="4">
        <f>COUNTIF('참여자별 기록'!I2:I41,"도움 성공")</f>
        <v/>
      </c>
      <c r="E7" s="4">
        <f>COUNTIF('참여자별 기록'!I2:I41,"실패")</f>
        <v/>
      </c>
      <c r="F7" s="5">
        <f>IF(B7=0,"",C7/B7)</f>
        <v/>
      </c>
      <c r="G7" s="5">
        <f>IF(B7=0,"",(C7+D7)/B7)</f>
        <v/>
      </c>
      <c r="H7" s="6">
        <f>IF(COUNT('참여자별 기록'!J2:J41)=0,"",AVERAGE('참여자별 기록'!J2:J41))</f>
        <v/>
      </c>
      <c r="I7" s="6">
        <f>IF(COUNT('참여자별 기록'!J2:J41)=0,"",MEDIAN('참여자별 기록'!J2:J41))</f>
        <v/>
      </c>
    </row>
    <row r="8">
      <c r="A8" s="7" t="inlineStr">
        <is>
          <t>4 부족분 읽기</t>
        </is>
      </c>
      <c r="B8" s="7">
        <f>COUNTA('참여자별 기록'!K2:K41)</f>
        <v/>
      </c>
      <c r="C8" s="7">
        <f>COUNTIF('참여자별 기록'!K2:K41,"성공")</f>
        <v/>
      </c>
      <c r="D8" s="7">
        <f>COUNTIF('참여자별 기록'!K2:K41,"도움 성공")</f>
        <v/>
      </c>
      <c r="E8" s="7">
        <f>COUNTIF('참여자별 기록'!K2:K41,"실패")</f>
        <v/>
      </c>
      <c r="F8" s="8">
        <f>IF(B8=0,"",C8/B8)</f>
        <v/>
      </c>
      <c r="G8" s="8">
        <f>IF(B8=0,"",(C8+D8)/B8)</f>
        <v/>
      </c>
      <c r="H8" s="9">
        <f>IF(COUNT('참여자별 기록'!L2:L41)=0,"",AVERAGE('참여자별 기록'!L2:L41))</f>
        <v/>
      </c>
      <c r="I8" s="9">
        <f>IF(COUNT('참여자별 기록'!L2:L41)=0,"",MEDIAN('참여자별 기록'!L2:L41))</f>
        <v/>
      </c>
    </row>
    <row r="9">
      <c r="A9" s="4" t="inlineStr">
        <is>
          <t>5 훈련 발령</t>
        </is>
      </c>
      <c r="B9" s="4">
        <f>COUNTA('참여자별 기록'!M2:M41)</f>
        <v/>
      </c>
      <c r="C9" s="4">
        <f>COUNTIF('참여자별 기록'!M2:M41,"성공")</f>
        <v/>
      </c>
      <c r="D9" s="4">
        <f>COUNTIF('참여자별 기록'!M2:M41,"도움 성공")</f>
        <v/>
      </c>
      <c r="E9" s="4">
        <f>COUNTIF('참여자별 기록'!M2:M41,"실패")</f>
        <v/>
      </c>
      <c r="F9" s="5">
        <f>IF(B9=0,"",C9/B9)</f>
        <v/>
      </c>
      <c r="G9" s="5">
        <f>IF(B9=0,"",(C9+D9)/B9)</f>
        <v/>
      </c>
      <c r="H9" s="6">
        <f>IF(COUNT('참여자별 기록'!N2:N41)=0,"",AVERAGE('참여자별 기록'!N2:N41))</f>
        <v/>
      </c>
      <c r="I9" s="6">
        <f>IF(COUNT('참여자별 기록'!N2:N41)=0,"",MEDIAN('참여자별 기록'!N2:N41))</f>
        <v/>
      </c>
    </row>
    <row r="10">
      <c r="A10" s="7" t="inlineStr">
        <is>
          <t>6 서류 확인</t>
        </is>
      </c>
      <c r="B10" s="7">
        <f>COUNTA('참여자별 기록'!O2:O41)</f>
        <v/>
      </c>
      <c r="C10" s="7">
        <f>COUNTIF('참여자별 기록'!O2:O41,"성공")</f>
        <v/>
      </c>
      <c r="D10" s="7">
        <f>COUNTIF('참여자별 기록'!O2:O41,"도움 성공")</f>
        <v/>
      </c>
      <c r="E10" s="7">
        <f>COUNTIF('참여자별 기록'!O2:O41,"실패")</f>
        <v/>
      </c>
      <c r="F10" s="8">
        <f>IF(B10=0,"",C10/B10)</f>
        <v/>
      </c>
      <c r="G10" s="8">
        <f>IF(B10=0,"",(C10+D10)/B10)</f>
        <v/>
      </c>
      <c r="H10" s="9">
        <f>IF(COUNT('참여자별 기록'!P2:P41)=0,"",AVERAGE('참여자별 기록'!P2:P41))</f>
        <v/>
      </c>
      <c r="I10" s="9">
        <f>IF(COUNT('참여자별 기록'!P2:P41)=0,"",MEDIAN('참여자별 기록'!P2:P41))</f>
        <v/>
      </c>
    </row>
    <row r="12">
      <c r="A12" s="10" t="inlineStr">
        <is>
          <t>SUS 응답 인원</t>
        </is>
      </c>
      <c r="B12" s="11">
        <f>COUNT('참여자별 기록'!AB2:AB41)</f>
        <v/>
      </c>
    </row>
    <row r="13">
      <c r="A13" s="10" t="inlineStr">
        <is>
          <t>SUS 평균 점수</t>
        </is>
      </c>
      <c r="B13" s="12">
        <f>IF(COUNT('참여자별 기록'!AB2:AB41)=0,"",AVERAGE('참여자별 기록'!AB2:AB41))</f>
        <v/>
      </c>
    </row>
    <row r="14">
      <c r="A14" s="10" t="inlineStr">
        <is>
          <t>SUS 최저</t>
        </is>
      </c>
      <c r="B14" s="12">
        <f>IF(COUNT('참여자별 기록'!AB2:AB41)=0,"",MIN('참여자별 기록'!AB2:AB41))</f>
        <v/>
      </c>
    </row>
    <row r="15">
      <c r="A15" s="10" t="inlineStr">
        <is>
          <t>SUS 최고</t>
        </is>
      </c>
      <c r="B15" s="12">
        <f>IF(COUNT('참여자별 기록'!AB2:AB41)=0,"",MAX('참여자별 기록'!AB2:AB41))</f>
        <v/>
      </c>
    </row>
    <row r="16">
      <c r="A16" s="10" t="inlineStr">
        <is>
          <t>추가11 평균(1~5)</t>
        </is>
      </c>
      <c r="B16" s="12">
        <f>IF(COUNT('참여자별 기록'!AA2:AA41)=0,"",AVERAGE('참여자별 기록'!AA2:AA41))</f>
        <v/>
      </c>
    </row>
    <row r="17">
      <c r="A17" s="10" t="inlineStr">
        <is>
          <t>전체 참여 인원</t>
        </is>
      </c>
      <c r="B17" s="11">
        <f>COUNTA('참여자별 기록'!C2:C41)</f>
        <v/>
      </c>
    </row>
    <row r="19">
      <c r="A19" s="13" t="inlineStr">
        <is>
          <t>SUS 점수 계산: 홀수 문항 (응답-1), 짝수 문항 (5-응답)을 더해 2.5를 곱함. 출처: Brooke, J. (1996). SUS: A quick and dirty usability scale. Usability Evaluation in Industry, pp. 189-194. Taylor and Francis</t>
        </is>
      </c>
    </row>
    <row r="20">
      <c r="A20" s="13" t="inlineStr">
        <is>
          <t>한국어 문항은 Team 오아시스 번역이며 검증된 한국어판이 아님. 과제 판정 기준과 진행 상한은 팀이 정한 값임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14" customWidth="1" min="27" max="27"/>
    <col width="12" customWidth="1" min="28" max="28"/>
    <col width="30" customWidth="1" min="29" max="29"/>
  </cols>
  <sheetData>
    <row r="1" ht="42" customHeight="1">
      <c r="A1" s="14" t="inlineStr">
        <is>
          <t>참여 번호</t>
        </is>
      </c>
      <c r="B1" s="14" t="inlineStr">
        <is>
          <t>날짜</t>
        </is>
      </c>
      <c r="C1" s="14" t="inlineStr">
        <is>
          <t>참여 유형</t>
        </is>
      </c>
      <c r="D1" s="14" t="inlineStr">
        <is>
          <t>체험 구성</t>
        </is>
      </c>
      <c r="E1" s="14" t="inlineStr">
        <is>
          <t>과제1 결과</t>
        </is>
      </c>
      <c r="F1" s="14" t="inlineStr">
        <is>
          <t>과제1 시간(초)</t>
        </is>
      </c>
      <c r="G1" s="14" t="inlineStr">
        <is>
          <t>과제2 결과</t>
        </is>
      </c>
      <c r="H1" s="14" t="inlineStr">
        <is>
          <t>과제2 시간(초)</t>
        </is>
      </c>
      <c r="I1" s="14" t="inlineStr">
        <is>
          <t>과제3 결과</t>
        </is>
      </c>
      <c r="J1" s="14" t="inlineStr">
        <is>
          <t>과제3 시간(초)</t>
        </is>
      </c>
      <c r="K1" s="14" t="inlineStr">
        <is>
          <t>과제4 결과</t>
        </is>
      </c>
      <c r="L1" s="14" t="inlineStr">
        <is>
          <t>과제4 시간(초)</t>
        </is>
      </c>
      <c r="M1" s="14" t="inlineStr">
        <is>
          <t>과제5 결과</t>
        </is>
      </c>
      <c r="N1" s="14" t="inlineStr">
        <is>
          <t>과제5 시간(초)</t>
        </is>
      </c>
      <c r="O1" s="14" t="inlineStr">
        <is>
          <t>과제6 결과</t>
        </is>
      </c>
      <c r="P1" s="14" t="inlineStr">
        <is>
          <t>과제6 시간(초)</t>
        </is>
      </c>
      <c r="Q1" s="14" t="inlineStr">
        <is>
          <t>SUS1</t>
        </is>
      </c>
      <c r="R1" s="14" t="inlineStr">
        <is>
          <t>SUS2</t>
        </is>
      </c>
      <c r="S1" s="14" t="inlineStr">
        <is>
          <t>SUS3</t>
        </is>
      </c>
      <c r="T1" s="14" t="inlineStr">
        <is>
          <t>SUS4</t>
        </is>
      </c>
      <c r="U1" s="14" t="inlineStr">
        <is>
          <t>SUS5</t>
        </is>
      </c>
      <c r="V1" s="14" t="inlineStr">
        <is>
          <t>SUS6</t>
        </is>
      </c>
      <c r="W1" s="14" t="inlineStr">
        <is>
          <t>SUS7</t>
        </is>
      </c>
      <c r="X1" s="14" t="inlineStr">
        <is>
          <t>SUS8</t>
        </is>
      </c>
      <c r="Y1" s="14" t="inlineStr">
        <is>
          <t>SUS9</t>
        </is>
      </c>
      <c r="Z1" s="14" t="inlineStr">
        <is>
          <t>SUS10</t>
        </is>
      </c>
      <c r="AA1" s="14" t="inlineStr">
        <is>
          <t>추가11 바로 움직일 수 있음(1~5)</t>
        </is>
      </c>
      <c r="AB1" s="14" t="inlineStr">
        <is>
          <t>SUS 점수(자동)</t>
        </is>
      </c>
      <c r="AC1" s="14" t="inlineStr">
        <is>
          <t>메모</t>
        </is>
      </c>
    </row>
    <row r="2">
      <c r="A2" s="15" t="inlineStr">
        <is>
          <t>P-01</t>
        </is>
      </c>
      <c r="B2" s="15" t="n"/>
      <c r="C2" s="15" t="n"/>
      <c r="D2" s="15" t="n"/>
      <c r="E2" s="15" t="n"/>
      <c r="F2" s="15" t="n"/>
      <c r="G2" s="15" t="n"/>
      <c r="H2" s="15" t="n"/>
      <c r="I2" s="15" t="n"/>
      <c r="J2" s="15" t="n"/>
      <c r="K2" s="15" t="n"/>
      <c r="L2" s="15" t="n"/>
      <c r="M2" s="15" t="n"/>
      <c r="N2" s="15" t="n"/>
      <c r="O2" s="15" t="n"/>
      <c r="P2" s="15" t="n"/>
      <c r="Q2" s="15" t="n"/>
      <c r="R2" s="15" t="n"/>
      <c r="S2" s="15" t="n"/>
      <c r="T2" s="15" t="n"/>
      <c r="U2" s="15" t="n"/>
      <c r="V2" s="15" t="n"/>
      <c r="W2" s="15" t="n"/>
      <c r="X2" s="15" t="n"/>
      <c r="Y2" s="15" t="n"/>
      <c r="Z2" s="15" t="n"/>
      <c r="AA2" s="15" t="n"/>
      <c r="AB2" s="7">
        <f>IF(COUNT(Q2:Z2)=10,((Q2-1)+(5-R2)+(S2-1)+(5-T2)+(U2-1)+(5-V2)+(W2-1)+(5-X2)+(Y2-1)+(5-Z2))*2.5,"")</f>
        <v/>
      </c>
      <c r="AC2" s="15" t="n"/>
    </row>
    <row r="3">
      <c r="A3" s="15" t="inlineStr">
        <is>
          <t>P-02</t>
        </is>
      </c>
      <c r="B3" s="15" t="n"/>
      <c r="C3" s="15" t="n"/>
      <c r="D3" s="15"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7">
        <f>IF(COUNT(Q3:Z3)=10,((Q3-1)+(5-R3)+(S3-1)+(5-T3)+(U3-1)+(5-V3)+(W3-1)+(5-X3)+(Y3-1)+(5-Z3))*2.5,"")</f>
        <v/>
      </c>
      <c r="AC3" s="15" t="n"/>
    </row>
    <row r="4">
      <c r="A4" s="15" t="inlineStr">
        <is>
          <t>P-03</t>
        </is>
      </c>
      <c r="B4" s="15" t="n"/>
      <c r="C4" s="15" t="n"/>
      <c r="D4" s="15" t="n"/>
      <c r="E4" s="15" t="n"/>
      <c r="F4" s="15" t="n"/>
      <c r="G4" s="15" t="n"/>
      <c r="H4" s="15" t="n"/>
      <c r="I4" s="15" t="n"/>
      <c r="J4" s="15" t="n"/>
      <c r="K4" s="15" t="n"/>
      <c r="L4" s="15" t="n"/>
      <c r="M4" s="15" t="n"/>
      <c r="N4" s="15" t="n"/>
      <c r="O4" s="15" t="n"/>
      <c r="P4" s="15" t="n"/>
      <c r="Q4" s="15" t="n"/>
      <c r="R4" s="15" t="n"/>
      <c r="S4" s="15" t="n"/>
      <c r="T4" s="15" t="n"/>
      <c r="U4" s="15" t="n"/>
      <c r="V4" s="15" t="n"/>
      <c r="W4" s="15" t="n"/>
      <c r="X4" s="15" t="n"/>
      <c r="Y4" s="15" t="n"/>
      <c r="Z4" s="15" t="n"/>
      <c r="AA4" s="15" t="n"/>
      <c r="AB4" s="7">
        <f>IF(COUNT(Q4:Z4)=10,((Q4-1)+(5-R4)+(S4-1)+(5-T4)+(U4-1)+(5-V4)+(W4-1)+(5-X4)+(Y4-1)+(5-Z4))*2.5,"")</f>
        <v/>
      </c>
      <c r="AC4" s="15" t="n"/>
    </row>
    <row r="5">
      <c r="A5" s="15" t="inlineStr">
        <is>
          <t>P-04</t>
        </is>
      </c>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c r="Y5" s="15" t="n"/>
      <c r="Z5" s="15" t="n"/>
      <c r="AA5" s="15" t="n"/>
      <c r="AB5" s="7">
        <f>IF(COUNT(Q5:Z5)=10,((Q5-1)+(5-R5)+(S5-1)+(5-T5)+(U5-1)+(5-V5)+(W5-1)+(5-X5)+(Y5-1)+(5-Z5))*2.5,"")</f>
        <v/>
      </c>
      <c r="AC5" s="15" t="n"/>
    </row>
    <row r="6">
      <c r="A6" s="15" t="inlineStr">
        <is>
          <t>P-05</t>
        </is>
      </c>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7">
        <f>IF(COUNT(Q6:Z6)=10,((Q6-1)+(5-R6)+(S6-1)+(5-T6)+(U6-1)+(5-V6)+(W6-1)+(5-X6)+(Y6-1)+(5-Z6))*2.5,"")</f>
        <v/>
      </c>
      <c r="AC6" s="15" t="n"/>
    </row>
    <row r="7">
      <c r="A7" s="15" t="inlineStr">
        <is>
          <t>P-06</t>
        </is>
      </c>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7">
        <f>IF(COUNT(Q7:Z7)=10,((Q7-1)+(5-R7)+(S7-1)+(5-T7)+(U7-1)+(5-V7)+(W7-1)+(5-X7)+(Y7-1)+(5-Z7))*2.5,"")</f>
        <v/>
      </c>
      <c r="AC7" s="15" t="n"/>
    </row>
    <row r="8">
      <c r="A8" s="15" t="inlineStr">
        <is>
          <t>P-07</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7">
        <f>IF(COUNT(Q8:Z8)=10,((Q8-1)+(5-R8)+(S8-1)+(5-T8)+(U8-1)+(5-V8)+(W8-1)+(5-X8)+(Y8-1)+(5-Z8))*2.5,"")</f>
        <v/>
      </c>
      <c r="AC8" s="15" t="n"/>
    </row>
    <row r="9">
      <c r="A9" s="15" t="inlineStr">
        <is>
          <t>P-08</t>
        </is>
      </c>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7">
        <f>IF(COUNT(Q9:Z9)=10,((Q9-1)+(5-R9)+(S9-1)+(5-T9)+(U9-1)+(5-V9)+(W9-1)+(5-X9)+(Y9-1)+(5-Z9))*2.5,"")</f>
        <v/>
      </c>
      <c r="AC9" s="15" t="n"/>
    </row>
    <row r="10">
      <c r="A10" s="15" t="inlineStr">
        <is>
          <t>P-09</t>
        </is>
      </c>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7">
        <f>IF(COUNT(Q10:Z10)=10,((Q10-1)+(5-R10)+(S10-1)+(5-T10)+(U10-1)+(5-V10)+(W10-1)+(5-X10)+(Y10-1)+(5-Z10))*2.5,"")</f>
        <v/>
      </c>
      <c r="AC10" s="15" t="n"/>
    </row>
    <row r="11">
      <c r="A11" s="15" t="inlineStr">
        <is>
          <t>P-10</t>
        </is>
      </c>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7">
        <f>IF(COUNT(Q11:Z11)=10,((Q11-1)+(5-R11)+(S11-1)+(5-T11)+(U11-1)+(5-V11)+(W11-1)+(5-X11)+(Y11-1)+(5-Z11))*2.5,"")</f>
        <v/>
      </c>
      <c r="AC11" s="15" t="n"/>
    </row>
    <row r="12">
      <c r="A12" s="15" t="inlineStr">
        <is>
          <t>P-11</t>
        </is>
      </c>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7">
        <f>IF(COUNT(Q12:Z12)=10,((Q12-1)+(5-R12)+(S12-1)+(5-T12)+(U12-1)+(5-V12)+(W12-1)+(5-X12)+(Y12-1)+(5-Z12))*2.5,"")</f>
        <v/>
      </c>
      <c r="AC12" s="15" t="n"/>
    </row>
    <row r="13">
      <c r="A13" s="15" t="inlineStr">
        <is>
          <t>P-12</t>
        </is>
      </c>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7">
        <f>IF(COUNT(Q13:Z13)=10,((Q13-1)+(5-R13)+(S13-1)+(5-T13)+(U13-1)+(5-V13)+(W13-1)+(5-X13)+(Y13-1)+(5-Z13))*2.5,"")</f>
        <v/>
      </c>
      <c r="AC13" s="15" t="n"/>
    </row>
    <row r="14">
      <c r="A14" s="15" t="inlineStr">
        <is>
          <t>P-13</t>
        </is>
      </c>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7">
        <f>IF(COUNT(Q14:Z14)=10,((Q14-1)+(5-R14)+(S14-1)+(5-T14)+(U14-1)+(5-V14)+(W14-1)+(5-X14)+(Y14-1)+(5-Z14))*2.5,"")</f>
        <v/>
      </c>
      <c r="AC14" s="15" t="n"/>
    </row>
    <row r="15">
      <c r="A15" s="15" t="inlineStr">
        <is>
          <t>P-14</t>
        </is>
      </c>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7">
        <f>IF(COUNT(Q15:Z15)=10,((Q15-1)+(5-R15)+(S15-1)+(5-T15)+(U15-1)+(5-V15)+(W15-1)+(5-X15)+(Y15-1)+(5-Z15))*2.5,"")</f>
        <v/>
      </c>
      <c r="AC15" s="15" t="n"/>
    </row>
    <row r="16">
      <c r="A16" s="15" t="inlineStr">
        <is>
          <t>P-15</t>
        </is>
      </c>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7">
        <f>IF(COUNT(Q16:Z16)=10,((Q16-1)+(5-R16)+(S16-1)+(5-T16)+(U16-1)+(5-V16)+(W16-1)+(5-X16)+(Y16-1)+(5-Z16))*2.5,"")</f>
        <v/>
      </c>
      <c r="AC16" s="15" t="n"/>
    </row>
    <row r="17">
      <c r="A17" s="15" t="inlineStr">
        <is>
          <t>P-16</t>
        </is>
      </c>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7">
        <f>IF(COUNT(Q17:Z17)=10,((Q17-1)+(5-R17)+(S17-1)+(5-T17)+(U17-1)+(5-V17)+(W17-1)+(5-X17)+(Y17-1)+(5-Z17))*2.5,"")</f>
        <v/>
      </c>
      <c r="AC17" s="15" t="n"/>
    </row>
    <row r="18">
      <c r="A18" s="15" t="inlineStr">
        <is>
          <t>P-17</t>
        </is>
      </c>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7">
        <f>IF(COUNT(Q18:Z18)=10,((Q18-1)+(5-R18)+(S18-1)+(5-T18)+(U18-1)+(5-V18)+(W18-1)+(5-X18)+(Y18-1)+(5-Z18))*2.5,"")</f>
        <v/>
      </c>
      <c r="AC18" s="15" t="n"/>
    </row>
    <row r="19">
      <c r="A19" s="15" t="inlineStr">
        <is>
          <t>P-18</t>
        </is>
      </c>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7">
        <f>IF(COUNT(Q19:Z19)=10,((Q19-1)+(5-R19)+(S19-1)+(5-T19)+(U19-1)+(5-V19)+(W19-1)+(5-X19)+(Y19-1)+(5-Z19))*2.5,"")</f>
        <v/>
      </c>
      <c r="AC19" s="15" t="n"/>
    </row>
    <row r="20">
      <c r="A20" s="15" t="inlineStr">
        <is>
          <t>P-19</t>
        </is>
      </c>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7">
        <f>IF(COUNT(Q20:Z20)=10,((Q20-1)+(5-R20)+(S20-1)+(5-T20)+(U20-1)+(5-V20)+(W20-1)+(5-X20)+(Y20-1)+(5-Z20))*2.5,"")</f>
        <v/>
      </c>
      <c r="AC20" s="15" t="n"/>
    </row>
    <row r="21">
      <c r="A21" s="15" t="inlineStr">
        <is>
          <t>P-20</t>
        </is>
      </c>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7">
        <f>IF(COUNT(Q21:Z21)=10,((Q21-1)+(5-R21)+(S21-1)+(5-T21)+(U21-1)+(5-V21)+(W21-1)+(5-X21)+(Y21-1)+(5-Z21))*2.5,"")</f>
        <v/>
      </c>
      <c r="AC21" s="15" t="n"/>
    </row>
    <row r="22">
      <c r="A22" s="15" t="inlineStr">
        <is>
          <t>P-21</t>
        </is>
      </c>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7">
        <f>IF(COUNT(Q22:Z22)=10,((Q22-1)+(5-R22)+(S22-1)+(5-T22)+(U22-1)+(5-V22)+(W22-1)+(5-X22)+(Y22-1)+(5-Z22))*2.5,"")</f>
        <v/>
      </c>
      <c r="AC22" s="15" t="n"/>
    </row>
    <row r="23">
      <c r="A23" s="15" t="inlineStr">
        <is>
          <t>P-22</t>
        </is>
      </c>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7">
        <f>IF(COUNT(Q23:Z23)=10,((Q23-1)+(5-R23)+(S23-1)+(5-T23)+(U23-1)+(5-V23)+(W23-1)+(5-X23)+(Y23-1)+(5-Z23))*2.5,"")</f>
        <v/>
      </c>
      <c r="AC23" s="15" t="n"/>
    </row>
    <row r="24">
      <c r="A24" s="15" t="inlineStr">
        <is>
          <t>P-23</t>
        </is>
      </c>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7">
        <f>IF(COUNT(Q24:Z24)=10,((Q24-1)+(5-R24)+(S24-1)+(5-T24)+(U24-1)+(5-V24)+(W24-1)+(5-X24)+(Y24-1)+(5-Z24))*2.5,"")</f>
        <v/>
      </c>
      <c r="AC24" s="15" t="n"/>
    </row>
    <row r="25">
      <c r="A25" s="15" t="inlineStr">
        <is>
          <t>P-24</t>
        </is>
      </c>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7">
        <f>IF(COUNT(Q25:Z25)=10,((Q25-1)+(5-R25)+(S25-1)+(5-T25)+(U25-1)+(5-V25)+(W25-1)+(5-X25)+(Y25-1)+(5-Z25))*2.5,"")</f>
        <v/>
      </c>
      <c r="AC25" s="15" t="n"/>
    </row>
    <row r="26">
      <c r="A26" s="15" t="inlineStr">
        <is>
          <t>P-25</t>
        </is>
      </c>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7">
        <f>IF(COUNT(Q26:Z26)=10,((Q26-1)+(5-R26)+(S26-1)+(5-T26)+(U26-1)+(5-V26)+(W26-1)+(5-X26)+(Y26-1)+(5-Z26))*2.5,"")</f>
        <v/>
      </c>
      <c r="AC26" s="15" t="n"/>
    </row>
    <row r="27">
      <c r="A27" s="15" t="inlineStr">
        <is>
          <t>P-26</t>
        </is>
      </c>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7">
        <f>IF(COUNT(Q27:Z27)=10,((Q27-1)+(5-R27)+(S27-1)+(5-T27)+(U27-1)+(5-V27)+(W27-1)+(5-X27)+(Y27-1)+(5-Z27))*2.5,"")</f>
        <v/>
      </c>
      <c r="AC27" s="15" t="n"/>
    </row>
    <row r="28">
      <c r="A28" s="15" t="inlineStr">
        <is>
          <t>P-27</t>
        </is>
      </c>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7">
        <f>IF(COUNT(Q28:Z28)=10,((Q28-1)+(5-R28)+(S28-1)+(5-T28)+(U28-1)+(5-V28)+(W28-1)+(5-X28)+(Y28-1)+(5-Z28))*2.5,"")</f>
        <v/>
      </c>
      <c r="AC28" s="15" t="n"/>
    </row>
    <row r="29">
      <c r="A29" s="15" t="inlineStr">
        <is>
          <t>P-28</t>
        </is>
      </c>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7">
        <f>IF(COUNT(Q29:Z29)=10,((Q29-1)+(5-R29)+(S29-1)+(5-T29)+(U29-1)+(5-V29)+(W29-1)+(5-X29)+(Y29-1)+(5-Z29))*2.5,"")</f>
        <v/>
      </c>
      <c r="AC29" s="15" t="n"/>
    </row>
    <row r="30">
      <c r="A30" s="15" t="inlineStr">
        <is>
          <t>P-29</t>
        </is>
      </c>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7">
        <f>IF(COUNT(Q30:Z30)=10,((Q30-1)+(5-R30)+(S30-1)+(5-T30)+(U30-1)+(5-V30)+(W30-1)+(5-X30)+(Y30-1)+(5-Z30))*2.5,"")</f>
        <v/>
      </c>
      <c r="AC30" s="15" t="n"/>
    </row>
    <row r="31">
      <c r="A31" s="15" t="inlineStr">
        <is>
          <t>P-30</t>
        </is>
      </c>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7">
        <f>IF(COUNT(Q31:Z31)=10,((Q31-1)+(5-R31)+(S31-1)+(5-T31)+(U31-1)+(5-V31)+(W31-1)+(5-X31)+(Y31-1)+(5-Z31))*2.5,"")</f>
        <v/>
      </c>
      <c r="AC31" s="15" t="n"/>
    </row>
    <row r="32">
      <c r="A32" s="15" t="inlineStr">
        <is>
          <t>P-31</t>
        </is>
      </c>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7">
        <f>IF(COUNT(Q32:Z32)=10,((Q32-1)+(5-R32)+(S32-1)+(5-T32)+(U32-1)+(5-V32)+(W32-1)+(5-X32)+(Y32-1)+(5-Z32))*2.5,"")</f>
        <v/>
      </c>
      <c r="AC32" s="15" t="n"/>
    </row>
    <row r="33">
      <c r="A33" s="15" t="inlineStr">
        <is>
          <t>P-32</t>
        </is>
      </c>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7">
        <f>IF(COUNT(Q33:Z33)=10,((Q33-1)+(5-R33)+(S33-1)+(5-T33)+(U33-1)+(5-V33)+(W33-1)+(5-X33)+(Y33-1)+(5-Z33))*2.5,"")</f>
        <v/>
      </c>
      <c r="AC33" s="15" t="n"/>
    </row>
    <row r="34">
      <c r="A34" s="15" t="inlineStr">
        <is>
          <t>P-33</t>
        </is>
      </c>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7">
        <f>IF(COUNT(Q34:Z34)=10,((Q34-1)+(5-R34)+(S34-1)+(5-T34)+(U34-1)+(5-V34)+(W34-1)+(5-X34)+(Y34-1)+(5-Z34))*2.5,"")</f>
        <v/>
      </c>
      <c r="AC34" s="15" t="n"/>
    </row>
    <row r="35">
      <c r="A35" s="15" t="inlineStr">
        <is>
          <t>P-34</t>
        </is>
      </c>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7">
        <f>IF(COUNT(Q35:Z35)=10,((Q35-1)+(5-R35)+(S35-1)+(5-T35)+(U35-1)+(5-V35)+(W35-1)+(5-X35)+(Y35-1)+(5-Z35))*2.5,"")</f>
        <v/>
      </c>
      <c r="AC35" s="15" t="n"/>
    </row>
    <row r="36">
      <c r="A36" s="15" t="inlineStr">
        <is>
          <t>P-35</t>
        </is>
      </c>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7">
        <f>IF(COUNT(Q36:Z36)=10,((Q36-1)+(5-R36)+(S36-1)+(5-T36)+(U36-1)+(5-V36)+(W36-1)+(5-X36)+(Y36-1)+(5-Z36))*2.5,"")</f>
        <v/>
      </c>
      <c r="AC36" s="15" t="n"/>
    </row>
    <row r="37">
      <c r="A37" s="15" t="inlineStr">
        <is>
          <t>P-36</t>
        </is>
      </c>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7">
        <f>IF(COUNT(Q37:Z37)=10,((Q37-1)+(5-R37)+(S37-1)+(5-T37)+(U37-1)+(5-V37)+(W37-1)+(5-X37)+(Y37-1)+(5-Z37))*2.5,"")</f>
        <v/>
      </c>
      <c r="AC37" s="15" t="n"/>
    </row>
    <row r="38">
      <c r="A38" s="15" t="inlineStr">
        <is>
          <t>P-37</t>
        </is>
      </c>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7">
        <f>IF(COUNT(Q38:Z38)=10,((Q38-1)+(5-R38)+(S38-1)+(5-T38)+(U38-1)+(5-V38)+(W38-1)+(5-X38)+(Y38-1)+(5-Z38))*2.5,"")</f>
        <v/>
      </c>
      <c r="AC38" s="15" t="n"/>
    </row>
    <row r="39">
      <c r="A39" s="15" t="inlineStr">
        <is>
          <t>P-38</t>
        </is>
      </c>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7">
        <f>IF(COUNT(Q39:Z39)=10,((Q39-1)+(5-R39)+(S39-1)+(5-T39)+(U39-1)+(5-V39)+(W39-1)+(5-X39)+(Y39-1)+(5-Z39))*2.5,"")</f>
        <v/>
      </c>
      <c r="AC39" s="15" t="n"/>
    </row>
    <row r="40">
      <c r="A40" s="15" t="inlineStr">
        <is>
          <t>P-39</t>
        </is>
      </c>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7">
        <f>IF(COUNT(Q40:Z40)=10,((Q40-1)+(5-R40)+(S40-1)+(5-T40)+(U40-1)+(5-V40)+(W40-1)+(5-X40)+(Y40-1)+(5-Z40))*2.5,"")</f>
        <v/>
      </c>
      <c r="AC40" s="15" t="n"/>
    </row>
    <row r="41">
      <c r="A41" s="15" t="inlineStr">
        <is>
          <t>P-40</t>
        </is>
      </c>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7">
        <f>IF(COUNT(Q41:Z41)=10,((Q41-1)+(5-R41)+(S41-1)+(5-T41)+(U41-1)+(5-V41)+(W41-1)+(5-X41)+(Y41-1)+(5-Z41))*2.5,"")</f>
        <v/>
      </c>
      <c r="AC41" s="15" t="n"/>
    </row>
  </sheetData>
  <dataValidations count="4">
    <dataValidation sqref="E2 E3 E4 E5 E6 E7 E8 E9 E10 E11 E12 E13 E14 E15 E16 E17 E18 E19 E20 E21 E22 E23 E24 E25 E26 E27 E28 E29 E30 E31 E32 E33 E34 E35 E36 E37 E38 E39 E40 E41 G2 G3 G4 G5 G6 G7 G8 G9 G10 G11 G12 G13 G14 G15 G16 G17 G18 G19 G20 G21 G22 G23 G24 G25 G26 G27 G28 G29 G30 G31 G32 G33 G34 G35 G36 G37 G38 G39 G40 G41 I2 I3 I4 I5 I6 I7 I8 I9 I10 I11 I12 I13 I14 I15 I16 I17 I18 I19 I20 I21 I22 I23 I24 I25 I26 I27 I28 I29 I30 I31 I32 I33 I34 I35 I36 I37 I38 I39 I40 I41 K2 K3 K4 K5 K6 K7 K8 K9 K10 K11 K12 K13 K14 K15 K16 K17 K18 K19 K20 K21 K22 K23 K24 K25 K26 K27 K28 K29 K30 K31 K32 K33 K34 K35 K36 K37 K38 K39 K40 K41 M2 M3 M4 M5 M6 M7 M8 M9 M10 M11 M12 M13 M14 M15 M16 M17 M18 M19 M20 M21 M22 M23 M24 M25 M26 M27 M28 M29 M30 M31 M32 M33 M34 M35 M36 M37 M38 M39 M40 M41 O2 O3 O4 O5 O6 O7 O8 O9 O10 O11 O12 O13 O14 O15 O16 O17 O18 O19 O20 O21 O22 O23 O24 O25 O26 O27 O28 O29 O30 O31 O32 O33 O34 O35 O36 O37 O38 O39 O40 O41" showDropDown="0" showInputMessage="0" showErrorMessage="0" allowBlank="1" type="list">
      <formula1>"성공,도움 성공,실패"</formula1>
    </dataValidation>
    <dataValidation sqref="C2 C3 C4 C5 C6 C7 C8 C9 C10 C11 C12 C13 C14 C15 C16 C17 C18 C19 C20 C21 C22 C23 C24 C25 C26 C27 C28 C29 C30 C31 C32 C33 C34 C35 C36 C37 C38 C39 C40 C41" showDropDown="0" showInputMessage="0" showErrorMessage="0" allowBlank="1" type="list">
      <formula1>"봉사센터 학생,청년공간 이용자,담당 공무원,기타"</formula1>
    </dataValidation>
    <dataValidation sqref="D2 D3 D4 D5 D6 D7 D8 D9 D10 D11 D12 D13 D14 D15 D16 D17 D18 D19 D20 D21 D22 D23 D24 D25 D26 D27 D28 D29 D30 D31 D32 D33 D34 D35 D36 D37 D38 D39 D40 D41" showDropDown="0" showInputMessage="0" showErrorMessage="0" allowBlank="1" type="list">
      <formula1>"짧은 체험,전체 체험"</formula1>
    </dataValidation>
    <dataValidation sqref="Q2 Q3 Q4 Q5 Q6 Q7 Q8 Q9 Q10 Q11 Q12 Q13 Q14 Q15 Q16 Q17 Q18 Q19 Q20 Q21 Q22 Q23 Q24 Q25 Q26 Q27 Q28 Q29 Q30 Q31 Q32 Q33 Q34 Q35 Q36 Q37 Q38 Q39 Q40 Q41 R2 R3 R4 R5 R6 R7 R8 R9 R10 R11 R12 R13 R14 R15 R16 R17 R18 R19 R20 R21 R22 R23 R24 R25 R26 R27 R28 R29 R30 R31 R32 R33 R34 R35 R36 R37 R38 R39 R40 R41 S2 S3 S4 S5 S6 S7 S8 S9 S10 S11 S12 S13 S14 S15 S16 S17 S18 S19 S20 S21 S22 S23 S24 S25 S26 S27 S28 S29 S30 S31 S32 S33 S34 S35 S36 S37 S38 S39 S40 S41 T2 T3 T4 T5 T6 T7 T8 T9 T10 T11 T12 T13 T14 T15 T16 T17 T18 T19 T20 T21 T22 T23 T24 T25 T26 T27 T28 T29 T30 T31 T32 T33 T34 T35 T36 T37 T38 T39 T40 T41 U2 U3 U4 U5 U6 U7 U8 U9 U10 U11 U12 U13 U14 U15 U16 U17 U18 U19 U20 U21 U22 U23 U24 U25 U26 U27 U28 U29 U30 U31 U32 U33 U34 U35 U36 U37 U38 U39 U40 U41 V2 V3 V4 V5 V6 V7 V8 V9 V10 V11 V12 V13 V14 V15 V16 V17 V18 V19 V20 V21 V22 V23 V24 V25 V26 V27 V28 V29 V30 V31 V32 V33 V34 V35 V36 V37 V38 V39 V40 V41 W2 W3 W4 W5 W6 W7 W8 W9 W10 W11 W12 W13 W14 W15 W16 W17 W18 W19 W20 W21 W22 W23 W24 W25 W26 W27 W28 W29 W30 W31 W32 W33 W34 W35 W36 W37 W38 W39 W40 W41 X2 X3 X4 X5 X6 X7 X8 X9 X10 X11 X12 X13 X14 X15 X16 X17 X18 X19 X20 X21 X22 X23 X24 X25 X26 X27 X28 X29 X30 X31 X32 X33 X34 X35 X36 X37 X38 X39 X40 X41 Y2 Y3 Y4 Y5 Y6 Y7 Y8 Y9 Y10 Y11 Y12 Y13 Y14 Y15 Y16 Y17 Y18 Y19 Y20 Y21 Y22 Y23 Y24 Y25 Y26 Y27 Y28 Y29 Y30 Y31 Y32 Y33 Y34 Y35 Y36 Y37 Y38 Y39 Y40 Y41 Z2 Z3 Z4 Z5 Z6 Z7 Z8 Z9 Z10 Z11 Z12 Z13 Z14 Z15 Z16 Z17 Z18 Z19 Z20 Z21 Z22 Z23 Z24 Z25 Z26 Z27 Z28 Z29 Z30 Z31 Z32 Z33 Z34 Z35 Z36 Z37 Z38 Z39 Z40 Z41 AA2 AA3 AA4 AA5 AA6 AA7 AA8 AA9 AA10 AA11 AA12 AA13 AA14 AA15 AA16 AA17 AA18 AA19 AA20 AA21 AA22 AA23 AA24 AA25 AA26 AA27 AA28 AA29 AA30 AA31 AA32 AA33 AA34 AA35 AA36 AA37 AA38 AA39 AA40 AA41" showDropDown="0" showInputMessage="0" showErrorMessage="0" allowBlank="1"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2026-10-20T13:50:43Z</dcterms:created>
  <dcterms:modified xmlns:dcterms="http://purl.org/dc/terms/" xmlns:xsi="http://www.w3.org/2001/XMLSchema-instance" xsi:type="dcterms:W3CDTF">2026-10-20T13:50:43Z</dcterms:modified>
</cp:coreProperties>
</file>